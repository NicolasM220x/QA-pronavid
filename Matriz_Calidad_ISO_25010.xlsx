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de Calidad" sheetId="1" r:id="rId5"/>
    <sheet state="visible" name="Adecuación Funcional" sheetId="2" r:id="rId6"/>
    <sheet state="visible" name="Eficiencia de Rendimiento" sheetId="3" r:id="rId7"/>
    <sheet state="visible" name="Compatibilidad" sheetId="4" r:id="rId8"/>
    <sheet state="visible" name="Usabilidad" sheetId="5" r:id="rId9"/>
    <sheet state="visible" name="Fiabilidad" sheetId="6" r:id="rId10"/>
    <sheet state="visible" name="Seguridad" sheetId="7" r:id="rId11"/>
    <sheet state="visible" name="Mantenibilidad" sheetId="8" r:id="rId12"/>
    <sheet state="visible" name="Portabilidad" sheetId="9" r:id="rId13"/>
    <sheet state="visible" name="Banco de Preguntas" sheetId="10" r:id="rId14"/>
  </sheets>
  <definedNames/>
  <calcPr/>
</workbook>
</file>

<file path=xl/sharedStrings.xml><?xml version="1.0" encoding="utf-8"?>
<sst xmlns="http://schemas.openxmlformats.org/spreadsheetml/2006/main" count="302" uniqueCount="191">
  <si>
    <t>CONSOLIDADO DE EVALUACIÓN - ISO/IEC 25010</t>
  </si>
  <si>
    <t>Resumen general del porcentaje de calidad del software evaluado.</t>
  </si>
  <si>
    <t>Característica de Calidad</t>
  </si>
  <si>
    <t>Puntaje Máximo Posible</t>
  </si>
  <si>
    <t>Puntaje Obtenido</t>
  </si>
  <si>
    <t>MATRIZ DE EVALUACIÓN: ADECUACIÓN FUNCIONAL</t>
  </si>
  <si>
    <t>MATRIZ DE EVALUACIÓN: EFICIENCIA DE RENDIMIENTO</t>
  </si>
  <si>
    <t>MATRIZ DE EVALUACIÓN: COMPATIBILIDAD</t>
  </si>
  <si>
    <t>Porcentaje de Calidad</t>
  </si>
  <si>
    <t>Instrucciones: Asigne un peso del 1 al 5 según la importancia del criterio, y califique de 0 a 5 el cumplimiento.</t>
  </si>
  <si>
    <t>Adecuación Funcional</t>
  </si>
  <si>
    <t>ID</t>
  </si>
  <si>
    <t>Subcaracterística</t>
  </si>
  <si>
    <t>Criterio de Evaluación / Ejemplo</t>
  </si>
  <si>
    <t>Peso (1-5)</t>
  </si>
  <si>
    <t>Calificación (0-5)</t>
  </si>
  <si>
    <t>Observación / Evidencia</t>
  </si>
  <si>
    <t>FUNC_COMP_01</t>
  </si>
  <si>
    <t>COMP_COEX_01</t>
  </si>
  <si>
    <t>REND_TEMP_01</t>
  </si>
  <si>
    <t>Completo funcional</t>
  </si>
  <si>
    <t>Coexistencia</t>
  </si>
  <si>
    <t>Comportamiento temporal</t>
  </si>
  <si>
    <t>El sistema permite realizar todo el flujo de ventas desde el registro hasta la facturación sin omitir pasos críticos.</t>
  </si>
  <si>
    <t>La aplicación móvil funciona sin interferencias en dispositivos donde están instaladas apps de la competencia.</t>
  </si>
  <si>
    <t>El tiempo de respuesta del sistema al cargar la página de inicio es inferior a 2 segundos bajo carga normal.</t>
  </si>
  <si>
    <t>Faltan funciones documentadas clave (exportación PDF, soft-delete, cotizaciones a ventas).</t>
  </si>
  <si>
    <t>Rendimiento aceptable en desarrollo (NestJS/Vite operan con fluidez).</t>
  </si>
  <si>
    <t>El despliegue de backend aislado mediante Docker Compose facilita evitar conflictos de puertos.</t>
  </si>
  <si>
    <t>FUNC_CORR_01</t>
  </si>
  <si>
    <t>Corrección funcional</t>
  </si>
  <si>
    <t>REND_UTIL_01</t>
  </si>
  <si>
    <t>COMP_INTE_01</t>
  </si>
  <si>
    <t>Los cálculos de impuestos y descuentos en el carrito de compras son exactos según las reglas de negocio.</t>
  </si>
  <si>
    <t>Utilización de recursos</t>
  </si>
  <si>
    <t>Interoperabilidad</t>
  </si>
  <si>
    <t>La auditoría inicial identificó 15 no conformidades funcionales concretas en 15 RF evaluados.</t>
  </si>
  <si>
    <t>El consumo de memoria RAM del servidor no supera el 60% durante la generación de reportes masivos.</t>
  </si>
  <si>
    <t>La API del sistema se integra y comparte datos correctamente con el módulo de contabilidad externo mediante JSON.</t>
  </si>
  <si>
    <t>FUNC_PERT_01</t>
  </si>
  <si>
    <t>Pertinencia funcional</t>
  </si>
  <si>
    <t>Las opciones del menú corresponden estrictamente a las tareas que el usuario necesita realizar en su rol.</t>
  </si>
  <si>
    <t>El backend cuenta con API REST, pero no se evidencian integraciones activas o probadas con software externo contable.</t>
  </si>
  <si>
    <t>Por verificar en producción. No hay límites forzosos confirmados en consultas de bases de datos.</t>
  </si>
  <si>
    <t>La interfaz presenta roles diferenciados, aunque el RBAC en backend reporta estado "Parcial".</t>
  </si>
  <si>
    <t>REND_CAPA_01</t>
  </si>
  <si>
    <t>Capacidad</t>
  </si>
  <si>
    <t>El sistema procesa correctamente 500 transacciones simultáneas sin degradar el servicio.</t>
  </si>
  <si>
    <t>Sin pruebas formales de estrés ni de carga (JMeter) realizadas hasta la fecha.</t>
  </si>
  <si>
    <t>Eficiencia de Rendimiento</t>
  </si>
  <si>
    <t>Compatibilidad</t>
  </si>
  <si>
    <t>Usabilidad</t>
  </si>
  <si>
    <t>Fiabilidad</t>
  </si>
  <si>
    <t>Seguridad</t>
  </si>
  <si>
    <t>Mantenibilidad</t>
  </si>
  <si>
    <t>Portabilidad</t>
  </si>
  <si>
    <t>PORCENTAJE TOTAL DE CALIDAD DEL SOFTWARE</t>
  </si>
  <si>
    <t>MATRIZ DE EVALUACIÓN: USABILIDAD</t>
  </si>
  <si>
    <t>MATRIZ DE EVALUACIÓN: FIABILIDAD</t>
  </si>
  <si>
    <t>MATRIZ DE EVALUACIÓN: SEGURIDAD</t>
  </si>
  <si>
    <t>SEGU_CONF_01</t>
  </si>
  <si>
    <t>FIAB_MADU_01</t>
  </si>
  <si>
    <t>USAB_RECO_01</t>
  </si>
  <si>
    <t>Reconocimiento de adecuación</t>
  </si>
  <si>
    <t>Madurez</t>
  </si>
  <si>
    <t>Confidencialidad</t>
  </si>
  <si>
    <t>El usuario identifica el propósito de la pantalla web en los primeros 5 segundos de visualización.</t>
  </si>
  <si>
    <t>El sistema opera de forma continua en producción sin presentar caídas imprevistas durante la última semana.</t>
  </si>
  <si>
    <t>Las contraseñas de los usuarios están encriptadas con un algoritmo robusto (ej. bcrypt) en la base de datos.</t>
  </si>
  <si>
    <t>Los dashboards y formularios presentan un propósito evidente.</t>
  </si>
  <si>
    <t>USAB_APRE_01</t>
  </si>
  <si>
    <t>Proyecto inmaduro, en primera iteración de QA. No está certificado para producción continua.</t>
  </si>
  <si>
    <t>Aprendizaje</t>
  </si>
  <si>
    <t>Falla Crítica: Exposición directa de credenciales, secretos `.env` y clave secreta JWT expuesta en el repositorio.</t>
  </si>
  <si>
    <t>Un usuario nuevo puede completar un registro de perfil sin necesidad de consultar un manual de ayuda.</t>
  </si>
  <si>
    <t>FIAB_DISP_01</t>
  </si>
  <si>
    <t>Disponibilidad</t>
  </si>
  <si>
    <t>SEGU_INTE_01</t>
  </si>
  <si>
    <t>Faltan tooltips o guías interactivas para algunos flujos logísticos complejos (pedidos).</t>
  </si>
  <si>
    <t>Integridad</t>
  </si>
  <si>
    <t>La plataforma está operativa y accesible para los usuarios el 99.9% del tiempo contratado en el mes.</t>
  </si>
  <si>
    <t>El sistema evita modificaciones no autorizadas en los datos mediante validaciones en el servidor (backend).</t>
  </si>
  <si>
    <t>USAB_OPER_01</t>
  </si>
  <si>
    <t>Operabilidad</t>
  </si>
  <si>
    <t>La contenedorización otorga cierta estabilidad, pero no se ha medido el SLA en entorno real.</t>
  </si>
  <si>
    <t>El sistema ofrece atajos de teclado para las funciones más frecuentes, facilitando el trabajo continuo.</t>
  </si>
  <si>
    <t>Backend con validaciones, pero existen deficiencias lógicas (ej. saltos de estado logísticos no controlados).</t>
  </si>
  <si>
    <t>FIAB_TOLE_01</t>
  </si>
  <si>
    <t>SEGU_NORE_01</t>
  </si>
  <si>
    <t>No existen atajos de teclado implementados. Operabilidad netamente de ratón.</t>
  </si>
  <si>
    <t>Tolerancia a fallos</t>
  </si>
  <si>
    <t>No repudio</t>
  </si>
  <si>
    <t>Si la conexión con la base de datos principal falla, el sistema conmuta automáticamente a la réplica de lectura.</t>
  </si>
  <si>
    <t>Cada transacción financiera registra de forma inalterable el ID del usuario, fecha y hora en el log de auditoría.</t>
  </si>
  <si>
    <t>USAB_PROT_01</t>
  </si>
  <si>
    <t>Protección contra errores de usuario</t>
  </si>
  <si>
    <t>No existe configuración de clúster ni réplica de lectura activa. Sistema de base de datos único.</t>
  </si>
  <si>
    <t>El sistema pide confirmación antes de eliminar permanentemente un registro de la base de datos.</t>
  </si>
  <si>
    <t>Trazabilidad presente, pero el sistema global de auditoría requiere refuerzo para inmutabilidad completa.</t>
  </si>
  <si>
    <t>FIAB_RECU_01</t>
  </si>
  <si>
    <t>SEGU_RESP_01</t>
  </si>
  <si>
    <t>Capacidad de recuperación</t>
  </si>
  <si>
    <t>El borrado físico se permite sin protección suficiente; el soft-delete (borrado lógico) exigido no está implementado.</t>
  </si>
  <si>
    <t>Responsabilidad</t>
  </si>
  <si>
    <t>Tras un corte de energía, el sistema restaura el estado de los datos al último punto de control guardado.</t>
  </si>
  <si>
    <t>El sistema registra de manera clara qué acciones ejecutó cada administrador para poder auditar incidentes.</t>
  </si>
  <si>
    <t>USAB_ESTE_01</t>
  </si>
  <si>
    <t>Estética de la interfaz de usuario</t>
  </si>
  <si>
    <t>Existen volúmenes Docker persistentes, pero no hay evidencia de rutinas de backup automatizadas.</t>
  </si>
  <si>
    <t>Se registra el responsable, aunque las acciones administrativas sobre permisos no se auditan a detalle profundo.</t>
  </si>
  <si>
    <t>El diseño visual mantiene una paleta de colores coherente y un espaciado que evita la fatiga visual.</t>
  </si>
  <si>
    <t>SEGU_AUTE_01</t>
  </si>
  <si>
    <t>Diseño limpio y acorde, interfaz construida en Vite con estilos estandarizados.</t>
  </si>
  <si>
    <t>Autenticidad</t>
  </si>
  <si>
    <t>El sistema valida tokens digitales (JWT) firmados para confirmar que las peticiones provienen de usuarios válidos.</t>
  </si>
  <si>
    <t>USAB_ACCE_01</t>
  </si>
  <si>
    <t>Accesibilidad</t>
  </si>
  <si>
    <t>JWT implementado de manera estándar, pero el `JWT_SECRET` hardcodeado (fallback) vulnera gravemente la protección.</t>
  </si>
  <si>
    <t>El sitio web cumple con las pautas WCAG, permitiendo la navegación con lectores de pantalla para personas visuales.</t>
  </si>
  <si>
    <t>Nula validación de accesibilidad WCAG o contrastes certificados.</t>
  </si>
  <si>
    <t>MATRIZ DE EVALUACIÓN: MANTENIBILIDAD</t>
  </si>
  <si>
    <t>MANT_MODU_01</t>
  </si>
  <si>
    <t>Modularidad</t>
  </si>
  <si>
    <t>Un cambio en el módulo de facturación no afecta ni altera el funcionamiento del módulo de inventarios.</t>
  </si>
  <si>
    <t>El framework NestJS proporciona una estructura nativa de módulos aislados de buena calidad.</t>
  </si>
  <si>
    <t>MANT_REUS_01</t>
  </si>
  <si>
    <t>Reusabilidad</t>
  </si>
  <si>
    <t>El componente visual de calendario se utiliza en múltiples formularios del sistema sin duplicar código.</t>
  </si>
  <si>
    <t>Uso aceptable de componentes, aunque existen porciones de lógica acopladas.</t>
  </si>
  <si>
    <t>MANT_ANAL_01</t>
  </si>
  <si>
    <t>Analizabilidad</t>
  </si>
  <si>
    <t>Los logs de error detallan la línea de código y el archivo exacto donde ocurrió una excepción para su diagnóstico.</t>
  </si>
  <si>
    <t>Sistema de logs básico; falta integración de SonarQube para deuda técnica y una herramienta APM sólida.</t>
  </si>
  <si>
    <t>MANT_MODI_01</t>
  </si>
  <si>
    <t>Modificabilidad</t>
  </si>
  <si>
    <t>Agregar un nuevo campo al formulario de registro requiere modificaciones mínimas en la base de datos y backend.</t>
  </si>
  <si>
    <t>El uso del ORM Prisma facilita la gestión de esquemas y las migraciones de forma ágil.</t>
  </si>
  <si>
    <t>MANT_PRUE_01</t>
  </si>
  <si>
    <t>Capacidad de prueba</t>
  </si>
  <si>
    <t>El código fuente cuenta con pruebas unitarias automatizadas que cubren al menos el 80% de las funciones.</t>
  </si>
  <si>
    <t>Riesgo extremo: Ausencia de cobertura (1 archivo Jest en backend, 0 en frontend, sin pruebas UI/Cypress).</t>
  </si>
  <si>
    <t>MATRIZ DE EVALUACIÓN: PORTABILIDAD</t>
  </si>
  <si>
    <t>PORT_ADAP_01</t>
  </si>
  <si>
    <t>Adaptabilidad</t>
  </si>
  <si>
    <t>La aplicación web se adapta y visualiza correctamente en pantallas de laptops, tablets y smartphones.</t>
  </si>
  <si>
    <t>BANCO DE PREGUNTAS PARA APRENDICES</t>
  </si>
  <si>
    <t>Interfaces web son responsive, pero la versión móvil opera con un frontend completamente separado (React Native).</t>
  </si>
  <si>
    <t>PORT_INST_01</t>
  </si>
  <si>
    <t>Facilidad de instalación</t>
  </si>
  <si>
    <t>El sistema se puede desplegar en un servidor nuevo en menos de una hora usando contenedores Docker.</t>
  </si>
  <si>
    <t>Cuestionario guía para auditorías de calidad de software basadas en ISO 25010.</t>
  </si>
  <si>
    <t>Excelente implementación de `docker-compose.yml`, que permite iniciar DB, Frontend y Backend casi instantáneamente.</t>
  </si>
  <si>
    <t>PORT_SUST_01</t>
  </si>
  <si>
    <t>Facilidad de sustitución</t>
  </si>
  <si>
    <t>La aplicación puede reemplazar al software anterior importando de forma directa la base de datos vieja.</t>
  </si>
  <si>
    <t>N°</t>
  </si>
  <si>
    <t>Factible, aunque requeriría mapeo de datos manual debido a las llaves primarias estrictas en Prisma.</t>
  </si>
  <si>
    <t>Pregunta de Evaluación</t>
  </si>
  <si>
    <t>Característica Asociada</t>
  </si>
  <si>
    <t>Subcaracterística Asociada</t>
  </si>
  <si>
    <t>¿El sistema incluye todas las funciones especificadas en los requisitos iniciales?</t>
  </si>
  <si>
    <t>¿El software arroja resultados matemáticos correctos en los reportes contables?</t>
  </si>
  <si>
    <t>¿Las opciones visibles ayudan directamente al usuario a cumplir sus metas de negocio?</t>
  </si>
  <si>
    <t>¿La búsqueda de productos tarda menos de un segundo en mostrar resultados?</t>
  </si>
  <si>
    <t>¿El sistema libera la memoria RAM después de cerrar un reporte complejo?</t>
  </si>
  <si>
    <t>¿Soporta el aumento repentino de usuarios en fechas de alta demanda (Black Friday)?</t>
  </si>
  <si>
    <t>¿Puede ejecutarse al mismo tiempo que el antivirus sin ralentizar el equipo?</t>
  </si>
  <si>
    <t>¿Los datos exportados en Excel se abren correctamente en otras suites de oficina?</t>
  </si>
  <si>
    <t>¿Los iconos utilizados representan claramente la acción que van a realizar?</t>
  </si>
  <si>
    <t>¿Los mensajes de bienvenida guían intuitivamente al usuario nuevo?</t>
  </si>
  <si>
    <t>¿Es fácil navegar por el sitio utilizando únicamente el teclado?</t>
  </si>
  <si>
    <t>¿El sistema previene que se envíe un formulario vacío resaltando los campos?</t>
  </si>
  <si>
    <t>¿El tamaño de la fuente y los contrastes cumplen con normas de diseño limpio?</t>
  </si>
  <si>
    <t>¿Tiene la opción de activar subtítulos o descripciones de audio para videos integrados?</t>
  </si>
  <si>
    <t>¿El software funciona sin colgarse durante jornadas laborales de 8 horas consecutivas?</t>
  </si>
  <si>
    <t>¿Existe un canal alterno de acceso si el servidor principal falla?</t>
  </si>
  <si>
    <t>¿El sistema sigue funcionando si se desconecta momentáneamente la red de internet?</t>
  </si>
  <si>
    <t>¿Cuánto tiempo tarda el sistema en volver a estar en línea tras reiniciar el servidor?</t>
  </si>
  <si>
    <t>¿La sesión de usuario expira automáticamente tras 15 minutos de inactividad?</t>
  </si>
  <si>
    <t>¿Se bloquea la edición de campos históricos una vez cerrado el mes contable?</t>
  </si>
  <si>
    <t>¿Se puede demostrar legalmente qué usuario aprobó un presupuesto?</t>
  </si>
  <si>
    <t>¿El sistema permite rastrear los intentos fallidos de inicio de sesión por dirección IP?</t>
  </si>
  <si>
    <t>¿La plataforma exige el uso de autenticación de dos factores (2FA)?</t>
  </si>
  <si>
    <t>¿El código fuente está dividido en capas (Controlador, Servicio, Repositorio)?</t>
  </si>
  <si>
    <t>¿Las funciones de formato de fechas se encuentran centralizadas en una sola librería?</t>
  </si>
  <si>
    <t>¿Se generan archivos log diarios estructurados con niveles (INFO, WARN, ERROR)?</t>
  </si>
  <si>
    <t>¿El sistema permite cambiar el proveedor de base de datos sin reescribir todo el código?</t>
  </si>
  <si>
    <t>¿Se pueden ejecutar las pruebas del sistema de forma automática en un pipeline de CI/CD?</t>
  </si>
  <si>
    <t>¿La aplicación se ejecuta de igual forma en sistemas operativos Windows, Linux y macOS?</t>
  </si>
  <si>
    <t>¿El instalador configura automáticamente las dependencias necesarias?</t>
  </si>
  <si>
    <t>¿Es posible migrar los datos al nuevo sistema sin pérdida de información histórica?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</si>
</sst>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theme="1"/>
      <name val="Calibri"/>
    </font>
    <font>
      <b/>
      <sz val="11.0"/>
      <color rgb="FFFFFFFF"/>
      <name val="Calibri"/>
    </font>
    <font>
      <i/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C5234"/>
        <bgColor rgb="FF2C5234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1" fillId="0" fontId="5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horizontal="center" vertical="center"/>
    </xf>
    <xf borderId="1" fillId="2" fontId="3" numFmtId="0" xfId="0" applyBorder="1" applyFill="1" applyFont="1"/>
    <xf borderId="1" fillId="4" fontId="8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0.0"/>
    <col customWidth="1" min="3" max="3" width="49.0"/>
    <col customWidth="1" min="4" max="4" width="60.0"/>
    <col customWidth="1" min="5" max="5" width="26.0"/>
    <col customWidth="1" min="6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8</v>
      </c>
    </row>
    <row r="6">
      <c r="B6" s="5" t="s">
        <v>10</v>
      </c>
      <c r="C6" s="11">
        <f>SUM('Adecuación Funcional'!$E$6:$E$8)*5</f>
        <v>75</v>
      </c>
      <c r="D6" s="11">
        <f>SUMPRODUCT('Adecuación Funcional'!$E$6:$E$8,'Adecuación Funcional'!$F$6:$F$8)</f>
        <v>40</v>
      </c>
      <c r="E6" s="14">
        <f t="shared" ref="E6:E14" si="1">IF(C6&gt;0, D6/C6, 0)</f>
        <v>0.5333333333</v>
      </c>
    </row>
    <row r="7">
      <c r="B7" s="5" t="s">
        <v>49</v>
      </c>
      <c r="C7" s="11">
        <f>SUM('Eficiencia de Rendimiento'!$E$6:$E$8)*5</f>
        <v>75</v>
      </c>
      <c r="D7" s="11">
        <f>SUMPRODUCT('Eficiencia de Rendimiento'!$E$6:$E$8,'Eficiencia de Rendimiento'!$F$6:$F$8)</f>
        <v>50</v>
      </c>
      <c r="E7" s="14">
        <f t="shared" si="1"/>
        <v>0.6666666667</v>
      </c>
    </row>
    <row r="8">
      <c r="B8" s="5" t="s">
        <v>50</v>
      </c>
      <c r="C8" s="11">
        <f>SUM(Compatibilidad!$E$6:$E$7)*5</f>
        <v>50</v>
      </c>
      <c r="D8" s="11">
        <f>SUMPRODUCT(Compatibilidad!$E$6:$E$7,Compatibilidad!$F$6:$F$7)</f>
        <v>35</v>
      </c>
      <c r="E8" s="14">
        <f t="shared" si="1"/>
        <v>0.7</v>
      </c>
    </row>
    <row r="9">
      <c r="B9" s="5" t="s">
        <v>51</v>
      </c>
      <c r="C9" s="11">
        <f>SUM(Usabilidad!$E$6:$E$11)*5</f>
        <v>150</v>
      </c>
      <c r="D9" s="11">
        <f>SUMPRODUCT(Usabilidad!$E$6:$E$11,Usabilidad!$F$6:$F$11)</f>
        <v>80</v>
      </c>
      <c r="E9" s="14">
        <f t="shared" si="1"/>
        <v>0.5333333333</v>
      </c>
    </row>
    <row r="10">
      <c r="B10" s="5" t="s">
        <v>52</v>
      </c>
      <c r="C10" s="11">
        <f>SUM(Fiabilidad!$E$6:$E$9)*5</f>
        <v>100</v>
      </c>
      <c r="D10" s="11">
        <f>SUMPRODUCT(Fiabilidad!$E$6:$E$9,Fiabilidad!$F$6:$F$9)</f>
        <v>40</v>
      </c>
      <c r="E10" s="14">
        <f t="shared" si="1"/>
        <v>0.4</v>
      </c>
    </row>
    <row r="11">
      <c r="B11" s="5" t="s">
        <v>53</v>
      </c>
      <c r="C11" s="11">
        <f>SUM(Seguridad!$E$6:$E$10)*5</f>
        <v>125</v>
      </c>
      <c r="D11" s="11">
        <f>SUMPRODUCT(Seguridad!$E$6:$E$10,Seguridad!$F$6:$F$10)</f>
        <v>60</v>
      </c>
      <c r="E11" s="14">
        <f t="shared" si="1"/>
        <v>0.48</v>
      </c>
    </row>
    <row r="12">
      <c r="B12" s="5" t="s">
        <v>54</v>
      </c>
      <c r="C12" s="11">
        <f>SUM(Mantenibilidad!$E$6:$E$10)*5</f>
        <v>125</v>
      </c>
      <c r="D12" s="11">
        <f>SUMPRODUCT(Mantenibilidad!$E$6:$E$10,Mantenibilidad!$F$6:$F$10)</f>
        <v>70</v>
      </c>
      <c r="E12" s="14">
        <f t="shared" si="1"/>
        <v>0.56</v>
      </c>
    </row>
    <row r="13">
      <c r="B13" s="5" t="s">
        <v>55</v>
      </c>
      <c r="C13" s="11">
        <f>SUM(Portabilidad!$E$6:$E$8)*5</f>
        <v>75</v>
      </c>
      <c r="D13" s="11">
        <f>SUMPRODUCT(Portabilidad!$E$6:$E$8,Portabilidad!$F$6:$F$8)</f>
        <v>55</v>
      </c>
      <c r="E13" s="14">
        <f t="shared" si="1"/>
        <v>0.7333333333</v>
      </c>
    </row>
    <row r="14">
      <c r="B14" s="15" t="s">
        <v>56</v>
      </c>
      <c r="C14" s="3">
        <f t="shared" ref="C14:D14" si="2">SUM(C6:C13)</f>
        <v>775</v>
      </c>
      <c r="D14" s="3">
        <f t="shared" si="2"/>
        <v>430</v>
      </c>
      <c r="E14" s="16">
        <f t="shared" si="1"/>
        <v>0.5548387097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4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5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17</v>
      </c>
      <c r="C6" s="8" t="s">
        <v>20</v>
      </c>
      <c r="D6" s="9" t="s">
        <v>23</v>
      </c>
      <c r="E6" s="10">
        <v>5.0</v>
      </c>
      <c r="F6" s="12">
        <v>2.0</v>
      </c>
      <c r="G6" s="13" t="s">
        <v>26</v>
      </c>
    </row>
    <row r="7">
      <c r="B7" s="7" t="s">
        <v>29</v>
      </c>
      <c r="C7" s="8" t="s">
        <v>30</v>
      </c>
      <c r="D7" s="9" t="s">
        <v>33</v>
      </c>
      <c r="E7" s="10">
        <v>5.0</v>
      </c>
      <c r="F7" s="12">
        <v>2.0</v>
      </c>
      <c r="G7" s="13" t="s">
        <v>36</v>
      </c>
    </row>
    <row r="8">
      <c r="B8" s="7" t="s">
        <v>39</v>
      </c>
      <c r="C8" s="8" t="s">
        <v>40</v>
      </c>
      <c r="D8" s="9" t="s">
        <v>41</v>
      </c>
      <c r="E8" s="10">
        <v>5.0</v>
      </c>
      <c r="F8" s="12">
        <v>4.0</v>
      </c>
      <c r="G8" s="1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6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6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19</v>
      </c>
      <c r="C6" s="8" t="s">
        <v>22</v>
      </c>
      <c r="D6" s="9" t="s">
        <v>25</v>
      </c>
      <c r="E6" s="10">
        <v>5.0</v>
      </c>
      <c r="F6" s="12">
        <v>4.0</v>
      </c>
      <c r="G6" s="13" t="s">
        <v>27</v>
      </c>
    </row>
    <row r="7">
      <c r="B7" s="7" t="s">
        <v>31</v>
      </c>
      <c r="C7" s="8" t="s">
        <v>34</v>
      </c>
      <c r="D7" s="9" t="s">
        <v>37</v>
      </c>
      <c r="E7" s="10">
        <v>5.0</v>
      </c>
      <c r="F7" s="12">
        <v>3.0</v>
      </c>
      <c r="G7" s="13" t="s">
        <v>43</v>
      </c>
    </row>
    <row r="8">
      <c r="B8" s="7" t="s">
        <v>45</v>
      </c>
      <c r="C8" s="8" t="s">
        <v>46</v>
      </c>
      <c r="D8" s="9" t="s">
        <v>47</v>
      </c>
      <c r="E8" s="10">
        <v>5.0</v>
      </c>
      <c r="F8" s="12">
        <v>3.0</v>
      </c>
      <c r="G8" s="1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7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18</v>
      </c>
      <c r="C6" s="8" t="s">
        <v>21</v>
      </c>
      <c r="D6" s="9" t="s">
        <v>24</v>
      </c>
      <c r="E6" s="10">
        <v>5.0</v>
      </c>
      <c r="F6" s="12">
        <v>4.0</v>
      </c>
      <c r="G6" s="13" t="s">
        <v>28</v>
      </c>
    </row>
    <row r="7">
      <c r="B7" s="7" t="s">
        <v>32</v>
      </c>
      <c r="C7" s="8" t="s">
        <v>35</v>
      </c>
      <c r="D7" s="9" t="s">
        <v>38</v>
      </c>
      <c r="E7" s="10">
        <v>5.0</v>
      </c>
      <c r="F7" s="12">
        <v>3.0</v>
      </c>
      <c r="G7" s="13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39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57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62</v>
      </c>
      <c r="C6" s="8" t="s">
        <v>63</v>
      </c>
      <c r="D6" s="9" t="s">
        <v>66</v>
      </c>
      <c r="E6" s="10">
        <v>5.0</v>
      </c>
      <c r="F6" s="12">
        <v>4.0</v>
      </c>
      <c r="G6" s="13" t="s">
        <v>69</v>
      </c>
    </row>
    <row r="7">
      <c r="B7" s="7" t="s">
        <v>70</v>
      </c>
      <c r="C7" s="8" t="s">
        <v>72</v>
      </c>
      <c r="D7" s="9" t="s">
        <v>74</v>
      </c>
      <c r="E7" s="10">
        <v>5.0</v>
      </c>
      <c r="F7" s="12">
        <v>3.0</v>
      </c>
      <c r="G7" s="13" t="s">
        <v>78</v>
      </c>
    </row>
    <row r="8">
      <c r="B8" s="7" t="s">
        <v>82</v>
      </c>
      <c r="C8" s="8" t="s">
        <v>83</v>
      </c>
      <c r="D8" s="9" t="s">
        <v>85</v>
      </c>
      <c r="E8" s="10">
        <v>5.0</v>
      </c>
      <c r="F8" s="12">
        <v>2.0</v>
      </c>
      <c r="G8" s="13" t="s">
        <v>89</v>
      </c>
    </row>
    <row r="9">
      <c r="B9" s="7" t="s">
        <v>94</v>
      </c>
      <c r="C9" s="8" t="s">
        <v>95</v>
      </c>
      <c r="D9" s="9" t="s">
        <v>97</v>
      </c>
      <c r="E9" s="10">
        <v>5.0</v>
      </c>
      <c r="F9" s="12">
        <v>2.0</v>
      </c>
      <c r="G9" s="13" t="s">
        <v>102</v>
      </c>
    </row>
    <row r="10">
      <c r="B10" s="7" t="s">
        <v>106</v>
      </c>
      <c r="C10" s="8" t="s">
        <v>107</v>
      </c>
      <c r="D10" s="9" t="s">
        <v>110</v>
      </c>
      <c r="E10" s="10">
        <v>5.0</v>
      </c>
      <c r="F10" s="12">
        <v>4.0</v>
      </c>
      <c r="G10" s="13" t="s">
        <v>112</v>
      </c>
    </row>
    <row r="11">
      <c r="B11" s="7" t="s">
        <v>115</v>
      </c>
      <c r="C11" s="8" t="s">
        <v>116</v>
      </c>
      <c r="D11" s="9" t="s">
        <v>118</v>
      </c>
      <c r="E11" s="10">
        <v>5.0</v>
      </c>
      <c r="F11" s="12">
        <v>1.0</v>
      </c>
      <c r="G11" s="1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8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58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61</v>
      </c>
      <c r="C6" s="8" t="s">
        <v>64</v>
      </c>
      <c r="D6" s="9" t="s">
        <v>67</v>
      </c>
      <c r="E6" s="10">
        <v>5.0</v>
      </c>
      <c r="F6" s="12">
        <v>2.0</v>
      </c>
      <c r="G6" s="13" t="s">
        <v>71</v>
      </c>
    </row>
    <row r="7">
      <c r="B7" s="7" t="s">
        <v>75</v>
      </c>
      <c r="C7" s="8" t="s">
        <v>76</v>
      </c>
      <c r="D7" s="9" t="s">
        <v>80</v>
      </c>
      <c r="E7" s="10">
        <v>5.0</v>
      </c>
      <c r="F7" s="12">
        <v>3.0</v>
      </c>
      <c r="G7" s="13" t="s">
        <v>84</v>
      </c>
    </row>
    <row r="8">
      <c r="B8" s="7" t="s">
        <v>87</v>
      </c>
      <c r="C8" s="8" t="s">
        <v>90</v>
      </c>
      <c r="D8" s="9" t="s">
        <v>92</v>
      </c>
      <c r="E8" s="10">
        <v>5.0</v>
      </c>
      <c r="F8" s="12">
        <v>1.0</v>
      </c>
      <c r="G8" s="13" t="s">
        <v>96</v>
      </c>
    </row>
    <row r="9">
      <c r="B9" s="7" t="s">
        <v>99</v>
      </c>
      <c r="C9" s="8" t="s">
        <v>101</v>
      </c>
      <c r="D9" s="9" t="s">
        <v>104</v>
      </c>
      <c r="E9" s="10">
        <v>5.0</v>
      </c>
      <c r="F9" s="12">
        <v>2.0</v>
      </c>
      <c r="G9" s="13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59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60</v>
      </c>
      <c r="C6" s="8" t="s">
        <v>65</v>
      </c>
      <c r="D6" s="9" t="s">
        <v>68</v>
      </c>
      <c r="E6" s="10">
        <v>5.0</v>
      </c>
      <c r="F6" s="12">
        <v>1.0</v>
      </c>
      <c r="G6" s="13" t="s">
        <v>73</v>
      </c>
    </row>
    <row r="7">
      <c r="B7" s="7" t="s">
        <v>77</v>
      </c>
      <c r="C7" s="8" t="s">
        <v>79</v>
      </c>
      <c r="D7" s="9" t="s">
        <v>81</v>
      </c>
      <c r="E7" s="10">
        <v>5.0</v>
      </c>
      <c r="F7" s="12">
        <v>3.0</v>
      </c>
      <c r="G7" s="13" t="s">
        <v>86</v>
      </c>
    </row>
    <row r="8">
      <c r="B8" s="7" t="s">
        <v>88</v>
      </c>
      <c r="C8" s="8" t="s">
        <v>91</v>
      </c>
      <c r="D8" s="9" t="s">
        <v>93</v>
      </c>
      <c r="E8" s="10">
        <v>5.0</v>
      </c>
      <c r="F8" s="12">
        <v>3.0</v>
      </c>
      <c r="G8" s="13" t="s">
        <v>98</v>
      </c>
    </row>
    <row r="9">
      <c r="B9" s="7" t="s">
        <v>100</v>
      </c>
      <c r="C9" s="8" t="s">
        <v>103</v>
      </c>
      <c r="D9" s="9" t="s">
        <v>105</v>
      </c>
      <c r="E9" s="10">
        <v>5.0</v>
      </c>
      <c r="F9" s="12">
        <v>3.0</v>
      </c>
      <c r="G9" s="13" t="s">
        <v>109</v>
      </c>
    </row>
    <row r="10">
      <c r="B10" s="7" t="s">
        <v>111</v>
      </c>
      <c r="C10" s="8" t="s">
        <v>113</v>
      </c>
      <c r="D10" s="9" t="s">
        <v>114</v>
      </c>
      <c r="E10" s="10">
        <v>5.0</v>
      </c>
      <c r="F10" s="12">
        <v>2.0</v>
      </c>
      <c r="G10" s="13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2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120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121</v>
      </c>
      <c r="C6" s="8" t="s">
        <v>122</v>
      </c>
      <c r="D6" s="9" t="s">
        <v>123</v>
      </c>
      <c r="E6" s="10">
        <v>5.0</v>
      </c>
      <c r="F6" s="12">
        <v>4.0</v>
      </c>
      <c r="G6" s="13" t="s">
        <v>124</v>
      </c>
    </row>
    <row r="7">
      <c r="B7" s="7" t="s">
        <v>125</v>
      </c>
      <c r="C7" s="8" t="s">
        <v>126</v>
      </c>
      <c r="D7" s="9" t="s">
        <v>127</v>
      </c>
      <c r="E7" s="10">
        <v>5.0</v>
      </c>
      <c r="F7" s="12">
        <v>3.0</v>
      </c>
      <c r="G7" s="13" t="s">
        <v>128</v>
      </c>
    </row>
    <row r="8">
      <c r="B8" s="7" t="s">
        <v>129</v>
      </c>
      <c r="C8" s="8" t="s">
        <v>130</v>
      </c>
      <c r="D8" s="9" t="s">
        <v>131</v>
      </c>
      <c r="E8" s="10">
        <v>5.0</v>
      </c>
      <c r="F8" s="12">
        <v>2.0</v>
      </c>
      <c r="G8" s="13" t="s">
        <v>132</v>
      </c>
    </row>
    <row r="9">
      <c r="B9" s="7" t="s">
        <v>133</v>
      </c>
      <c r="C9" s="8" t="s">
        <v>134</v>
      </c>
      <c r="D9" s="9" t="s">
        <v>135</v>
      </c>
      <c r="E9" s="10">
        <v>5.0</v>
      </c>
      <c r="F9" s="12">
        <v>4.0</v>
      </c>
      <c r="G9" s="13" t="s">
        <v>136</v>
      </c>
    </row>
    <row r="10">
      <c r="B10" s="7" t="s">
        <v>137</v>
      </c>
      <c r="C10" s="8" t="s">
        <v>138</v>
      </c>
      <c r="D10" s="9" t="s">
        <v>139</v>
      </c>
      <c r="E10" s="10">
        <v>5.0</v>
      </c>
      <c r="F10" s="12">
        <v>1.0</v>
      </c>
      <c r="G10" s="13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7.0"/>
    <col customWidth="1" min="4" max="4" width="50.0"/>
    <col customWidth="1" min="5" max="5" width="13.0"/>
    <col customWidth="1" min="6" max="6" width="21.0"/>
    <col customWidth="1" min="7" max="7" width="64.43"/>
    <col customWidth="1" min="8" max="26" width="8.71"/>
  </cols>
  <sheetData>
    <row r="2">
      <c r="B2" s="1" t="s">
        <v>141</v>
      </c>
    </row>
    <row r="3">
      <c r="B3" s="4" t="s">
        <v>9</v>
      </c>
    </row>
    <row r="5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>
      <c r="B6" s="7" t="s">
        <v>142</v>
      </c>
      <c r="C6" s="8" t="s">
        <v>143</v>
      </c>
      <c r="D6" s="9" t="s">
        <v>144</v>
      </c>
      <c r="E6" s="10">
        <v>5.0</v>
      </c>
      <c r="F6" s="12">
        <v>3.0</v>
      </c>
      <c r="G6" s="13" t="s">
        <v>146</v>
      </c>
    </row>
    <row r="7">
      <c r="B7" s="7" t="s">
        <v>147</v>
      </c>
      <c r="C7" s="8" t="s">
        <v>148</v>
      </c>
      <c r="D7" s="9" t="s">
        <v>149</v>
      </c>
      <c r="E7" s="10">
        <v>5.0</v>
      </c>
      <c r="F7" s="12">
        <v>5.0</v>
      </c>
      <c r="G7" s="13" t="s">
        <v>151</v>
      </c>
    </row>
    <row r="8">
      <c r="B8" s="7" t="s">
        <v>152</v>
      </c>
      <c r="C8" s="8" t="s">
        <v>153</v>
      </c>
      <c r="D8" s="9" t="s">
        <v>154</v>
      </c>
      <c r="E8" s="10">
        <v>5.0</v>
      </c>
      <c r="F8" s="12">
        <v>3.0</v>
      </c>
      <c r="G8" s="13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60.0"/>
    <col customWidth="1" min="4" max="4" width="29.0"/>
    <col customWidth="1" min="5" max="5" width="40.0"/>
    <col customWidth="1" min="6" max="26" width="8.71"/>
  </cols>
  <sheetData>
    <row r="2">
      <c r="B2" s="1" t="s">
        <v>145</v>
      </c>
    </row>
    <row r="3">
      <c r="B3" s="2" t="s">
        <v>150</v>
      </c>
    </row>
    <row r="5">
      <c r="B5" s="6" t="s">
        <v>155</v>
      </c>
      <c r="C5" s="6" t="s">
        <v>157</v>
      </c>
      <c r="D5" s="6" t="s">
        <v>158</v>
      </c>
      <c r="E5" s="6" t="s">
        <v>159</v>
      </c>
    </row>
    <row r="6">
      <c r="B6" s="11">
        <v>1.0</v>
      </c>
      <c r="C6" s="7" t="s">
        <v>160</v>
      </c>
      <c r="D6" s="8" t="s">
        <v>10</v>
      </c>
      <c r="E6" s="7" t="s">
        <v>20</v>
      </c>
    </row>
    <row r="7">
      <c r="B7" s="11">
        <v>2.0</v>
      </c>
      <c r="C7" s="7" t="s">
        <v>161</v>
      </c>
      <c r="D7" s="8" t="s">
        <v>10</v>
      </c>
      <c r="E7" s="7" t="s">
        <v>30</v>
      </c>
    </row>
    <row r="8">
      <c r="B8" s="11">
        <v>3.0</v>
      </c>
      <c r="C8" s="7" t="s">
        <v>162</v>
      </c>
      <c r="D8" s="8" t="s">
        <v>10</v>
      </c>
      <c r="E8" s="7" t="s">
        <v>40</v>
      </c>
    </row>
    <row r="9">
      <c r="B9" s="11">
        <v>4.0</v>
      </c>
      <c r="C9" s="7" t="s">
        <v>163</v>
      </c>
      <c r="D9" s="8" t="s">
        <v>49</v>
      </c>
      <c r="E9" s="7" t="s">
        <v>22</v>
      </c>
    </row>
    <row r="10">
      <c r="B10" s="11">
        <v>5.0</v>
      </c>
      <c r="C10" s="7" t="s">
        <v>164</v>
      </c>
      <c r="D10" s="8" t="s">
        <v>49</v>
      </c>
      <c r="E10" s="7" t="s">
        <v>34</v>
      </c>
    </row>
    <row r="11">
      <c r="B11" s="11">
        <v>6.0</v>
      </c>
      <c r="C11" s="7" t="s">
        <v>165</v>
      </c>
      <c r="D11" s="8" t="s">
        <v>49</v>
      </c>
      <c r="E11" s="7" t="s">
        <v>46</v>
      </c>
    </row>
    <row r="12">
      <c r="B12" s="11">
        <v>7.0</v>
      </c>
      <c r="C12" s="7" t="s">
        <v>166</v>
      </c>
      <c r="D12" s="8" t="s">
        <v>50</v>
      </c>
      <c r="E12" s="7" t="s">
        <v>21</v>
      </c>
    </row>
    <row r="13">
      <c r="B13" s="11">
        <v>8.0</v>
      </c>
      <c r="C13" s="7" t="s">
        <v>167</v>
      </c>
      <c r="D13" s="8" t="s">
        <v>50</v>
      </c>
      <c r="E13" s="7" t="s">
        <v>35</v>
      </c>
    </row>
    <row r="14">
      <c r="B14" s="11">
        <v>9.0</v>
      </c>
      <c r="C14" s="7" t="s">
        <v>168</v>
      </c>
      <c r="D14" s="8" t="s">
        <v>51</v>
      </c>
      <c r="E14" s="7" t="s">
        <v>63</v>
      </c>
    </row>
    <row r="15">
      <c r="B15" s="11">
        <v>10.0</v>
      </c>
      <c r="C15" s="7" t="s">
        <v>169</v>
      </c>
      <c r="D15" s="8" t="s">
        <v>51</v>
      </c>
      <c r="E15" s="7" t="s">
        <v>72</v>
      </c>
    </row>
    <row r="16">
      <c r="B16" s="11">
        <v>11.0</v>
      </c>
      <c r="C16" s="7" t="s">
        <v>170</v>
      </c>
      <c r="D16" s="8" t="s">
        <v>51</v>
      </c>
      <c r="E16" s="7" t="s">
        <v>83</v>
      </c>
    </row>
    <row r="17">
      <c r="B17" s="11">
        <v>12.0</v>
      </c>
      <c r="C17" s="7" t="s">
        <v>171</v>
      </c>
      <c r="D17" s="8" t="s">
        <v>51</v>
      </c>
      <c r="E17" s="7" t="s">
        <v>95</v>
      </c>
    </row>
    <row r="18">
      <c r="B18" s="11">
        <v>13.0</v>
      </c>
      <c r="C18" s="7" t="s">
        <v>172</v>
      </c>
      <c r="D18" s="8" t="s">
        <v>51</v>
      </c>
      <c r="E18" s="7" t="s">
        <v>107</v>
      </c>
    </row>
    <row r="19">
      <c r="B19" s="11">
        <v>14.0</v>
      </c>
      <c r="C19" s="7" t="s">
        <v>173</v>
      </c>
      <c r="D19" s="8" t="s">
        <v>51</v>
      </c>
      <c r="E19" s="7" t="s">
        <v>116</v>
      </c>
    </row>
    <row r="20">
      <c r="B20" s="11">
        <v>15.0</v>
      </c>
      <c r="C20" s="7" t="s">
        <v>174</v>
      </c>
      <c r="D20" s="8" t="s">
        <v>52</v>
      </c>
      <c r="E20" s="7" t="s">
        <v>64</v>
      </c>
    </row>
    <row r="21" ht="15.75" customHeight="1">
      <c r="B21" s="11">
        <v>16.0</v>
      </c>
      <c r="C21" s="7" t="s">
        <v>175</v>
      </c>
      <c r="D21" s="8" t="s">
        <v>52</v>
      </c>
      <c r="E21" s="7" t="s">
        <v>76</v>
      </c>
    </row>
    <row r="22" ht="15.75" customHeight="1">
      <c r="B22" s="11">
        <v>17.0</v>
      </c>
      <c r="C22" s="7" t="s">
        <v>176</v>
      </c>
      <c r="D22" s="8" t="s">
        <v>52</v>
      </c>
      <c r="E22" s="7" t="s">
        <v>90</v>
      </c>
    </row>
    <row r="23" ht="15.75" customHeight="1">
      <c r="B23" s="11">
        <v>18.0</v>
      </c>
      <c r="C23" s="7" t="s">
        <v>177</v>
      </c>
      <c r="D23" s="8" t="s">
        <v>52</v>
      </c>
      <c r="E23" s="7" t="s">
        <v>101</v>
      </c>
    </row>
    <row r="24" ht="15.75" customHeight="1">
      <c r="B24" s="11">
        <v>19.0</v>
      </c>
      <c r="C24" s="7" t="s">
        <v>178</v>
      </c>
      <c r="D24" s="8" t="s">
        <v>53</v>
      </c>
      <c r="E24" s="7" t="s">
        <v>65</v>
      </c>
    </row>
    <row r="25" ht="15.75" customHeight="1">
      <c r="B25" s="11">
        <v>20.0</v>
      </c>
      <c r="C25" s="7" t="s">
        <v>179</v>
      </c>
      <c r="D25" s="8" t="s">
        <v>53</v>
      </c>
      <c r="E25" s="7" t="s">
        <v>79</v>
      </c>
    </row>
    <row r="26" ht="15.75" customHeight="1">
      <c r="B26" s="11">
        <v>21.0</v>
      </c>
      <c r="C26" s="7" t="s">
        <v>180</v>
      </c>
      <c r="D26" s="8" t="s">
        <v>53</v>
      </c>
      <c r="E26" s="7" t="s">
        <v>91</v>
      </c>
    </row>
    <row r="27" ht="15.75" customHeight="1">
      <c r="B27" s="11">
        <v>22.0</v>
      </c>
      <c r="C27" s="7" t="s">
        <v>181</v>
      </c>
      <c r="D27" s="8" t="s">
        <v>53</v>
      </c>
      <c r="E27" s="7" t="s">
        <v>103</v>
      </c>
    </row>
    <row r="28" ht="15.75" customHeight="1">
      <c r="B28" s="11">
        <v>23.0</v>
      </c>
      <c r="C28" s="7" t="s">
        <v>182</v>
      </c>
      <c r="D28" s="8" t="s">
        <v>53</v>
      </c>
      <c r="E28" s="7" t="s">
        <v>113</v>
      </c>
    </row>
    <row r="29" ht="15.75" customHeight="1">
      <c r="B29" s="11">
        <v>24.0</v>
      </c>
      <c r="C29" s="7" t="s">
        <v>183</v>
      </c>
      <c r="D29" s="8" t="s">
        <v>54</v>
      </c>
      <c r="E29" s="7" t="s">
        <v>122</v>
      </c>
    </row>
    <row r="30" ht="15.75" customHeight="1">
      <c r="B30" s="11">
        <v>25.0</v>
      </c>
      <c r="C30" s="7" t="s">
        <v>184</v>
      </c>
      <c r="D30" s="8" t="s">
        <v>54</v>
      </c>
      <c r="E30" s="7" t="s">
        <v>126</v>
      </c>
    </row>
    <row r="31" ht="15.75" customHeight="1">
      <c r="B31" s="11">
        <v>26.0</v>
      </c>
      <c r="C31" s="7" t="s">
        <v>185</v>
      </c>
      <c r="D31" s="8" t="s">
        <v>54</v>
      </c>
      <c r="E31" s="7" t="s">
        <v>130</v>
      </c>
    </row>
    <row r="32" ht="15.75" customHeight="1">
      <c r="B32" s="11">
        <v>27.0</v>
      </c>
      <c r="C32" s="7" t="s">
        <v>186</v>
      </c>
      <c r="D32" s="8" t="s">
        <v>54</v>
      </c>
      <c r="E32" s="7" t="s">
        <v>134</v>
      </c>
    </row>
    <row r="33" ht="15.75" customHeight="1">
      <c r="B33" s="11">
        <v>28.0</v>
      </c>
      <c r="C33" s="7" t="s">
        <v>187</v>
      </c>
      <c r="D33" s="8" t="s">
        <v>54</v>
      </c>
      <c r="E33" s="7" t="s">
        <v>138</v>
      </c>
    </row>
    <row r="34" ht="15.75" customHeight="1">
      <c r="B34" s="11">
        <v>29.0</v>
      </c>
      <c r="C34" s="7" t="s">
        <v>188</v>
      </c>
      <c r="D34" s="8" t="s">
        <v>55</v>
      </c>
      <c r="E34" s="7" t="s">
        <v>143</v>
      </c>
    </row>
    <row r="35" ht="15.75" customHeight="1">
      <c r="B35" s="11">
        <v>30.0</v>
      </c>
      <c r="C35" s="7" t="s">
        <v>189</v>
      </c>
      <c r="D35" s="8" t="s">
        <v>55</v>
      </c>
      <c r="E35" s="7" t="s">
        <v>148</v>
      </c>
    </row>
    <row r="36" ht="15.75" customHeight="1">
      <c r="B36" s="11">
        <v>31.0</v>
      </c>
      <c r="C36" s="7" t="s">
        <v>190</v>
      </c>
      <c r="D36" s="8" t="s">
        <v>55</v>
      </c>
      <c r="E36" s="7" t="s">
        <v>153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